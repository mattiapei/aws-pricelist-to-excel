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ia/Downloads/"/>
    </mc:Choice>
  </mc:AlternateContent>
  <xr:revisionPtr revIDLastSave="0" documentId="13_ncr:1_{896E80A9-EF18-8548-BCE9-9A8E4C2E811A}" xr6:coauthVersionLast="36" xr6:coauthVersionMax="45" xr10:uidLastSave="{00000000-0000-0000-0000-000000000000}"/>
  <bookViews>
    <workbookView xWindow="880" yWindow="500" windowWidth="18440" windowHeight="11020" xr2:uid="{00000000-000D-0000-FFFF-FFFF00000000}"/>
  </bookViews>
  <sheets>
    <sheet name="Menu" sheetId="4" r:id="rId1"/>
    <sheet name="Tools" sheetId="2" state="hidden" r:id="rId2"/>
  </sheets>
  <calcPr calcId="18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G2" i="2"/>
  <c r="G6" i="2" l="1"/>
</calcChain>
</file>

<file path=xl/sharedStrings.xml><?xml version="1.0" encoding="utf-8"?>
<sst xmlns="http://schemas.openxmlformats.org/spreadsheetml/2006/main" count="94" uniqueCount="91">
  <si>
    <t>Regions</t>
  </si>
  <si>
    <t>Service</t>
  </si>
  <si>
    <t>us-east-1</t>
  </si>
  <si>
    <t>Version</t>
  </si>
  <si>
    <t>/index.csv</t>
  </si>
  <si>
    <t>AmazonEC2</t>
  </si>
  <si>
    <t>US East (N. Virginia)</t>
  </si>
  <si>
    <t>No</t>
  </si>
  <si>
    <t>sa-east-1</t>
  </si>
  <si>
    <t>Asia Pacific (Sydney)</t>
  </si>
  <si>
    <t>ap-southeast-2</t>
  </si>
  <si>
    <t>US West (N. California)</t>
  </si>
  <si>
    <t>us-west-1</t>
  </si>
  <si>
    <t>eu-central-1</t>
  </si>
  <si>
    <t>US West (Oregon)</t>
  </si>
  <si>
    <t>us-west-2</t>
  </si>
  <si>
    <t>eu-west-1</t>
  </si>
  <si>
    <t>Asia Pacific (Tokyo)</t>
  </si>
  <si>
    <t>ap-northeast-1</t>
  </si>
  <si>
    <t>Asia Pacific (Singapore)</t>
  </si>
  <si>
    <t>ap-southeast-1</t>
  </si>
  <si>
    <t>Asia Pacific (Seoul)</t>
  </si>
  <si>
    <t>ap-northeast-2</t>
  </si>
  <si>
    <t>us-east-2</t>
  </si>
  <si>
    <t>US East (Ohio)</t>
  </si>
  <si>
    <t>af-south-1</t>
  </si>
  <si>
    <t>Africa (Cape Town)</t>
  </si>
  <si>
    <t>ap-east-1</t>
  </si>
  <si>
    <t>Asia Pacific (Hong Kong)</t>
  </si>
  <si>
    <t>ap-southeast-3</t>
  </si>
  <si>
    <t>Asia Pacific (Jakarta)</t>
  </si>
  <si>
    <t>ap-south-1</t>
  </si>
  <si>
    <t>Asia Pacific (Mumbai)</t>
  </si>
  <si>
    <t>ap-northeast-3</t>
  </si>
  <si>
    <t>Asia Pacific (Osaka)</t>
  </si>
  <si>
    <t>ca-central-1</t>
  </si>
  <si>
    <t>Canada (Central)</t>
  </si>
  <si>
    <t>Europe (Frankfurt)</t>
  </si>
  <si>
    <t>Europe (Ireland)</t>
  </si>
  <si>
    <t>eu-west-2</t>
  </si>
  <si>
    <t>Europe (London)</t>
  </si>
  <si>
    <t>eu-south-1</t>
  </si>
  <si>
    <t>Europe (Milan)</t>
  </si>
  <si>
    <t>eu-west-3</t>
  </si>
  <si>
    <t>Europe (Paris)</t>
  </si>
  <si>
    <t>eu-north-1</t>
  </si>
  <si>
    <t>Europe (Stockholm)</t>
  </si>
  <si>
    <t>me-south-1</t>
  </si>
  <si>
    <t>Middle East (Bahrain)</t>
  </si>
  <si>
    <t>South America (São Paulo)</t>
  </si>
  <si>
    <t>Select the service</t>
  </si>
  <si>
    <t>Select the region</t>
  </si>
  <si>
    <t>Region Name</t>
  </si>
  <si>
    <t>Code</t>
  </si>
  <si>
    <t>/current/</t>
  </si>
  <si>
    <t>https://pricing.us-east-1.amazonaws.com/offers/v1.0/aws/</t>
  </si>
  <si>
    <t>File</t>
  </si>
  <si>
    <t>URL Apex</t>
  </si>
  <si>
    <t>API URL</t>
  </si>
  <si>
    <t>Created By Mattia Peirano</t>
  </si>
  <si>
    <t>AWSIoT</t>
  </si>
  <si>
    <t>AmazonMemoryDB</t>
  </si>
  <si>
    <t>AmazonRedshift</t>
  </si>
  <si>
    <t>AmazonCloudWatch</t>
  </si>
  <si>
    <t>AmazonSageMaker</t>
  </si>
  <si>
    <t>AmazonCognito</t>
  </si>
  <si>
    <t>AmazonECS</t>
  </si>
  <si>
    <t>AmazonECR</t>
  </si>
  <si>
    <t>AmazonApiGateway</t>
  </si>
  <si>
    <t>AmazonRoute53</t>
  </si>
  <si>
    <t>AmazonEKS</t>
  </si>
  <si>
    <t>AmazonGlacier</t>
  </si>
  <si>
    <t>AmazonRDS</t>
  </si>
  <si>
    <t>AWSBackup</t>
  </si>
  <si>
    <t>AmazonSNS</t>
  </si>
  <si>
    <t>AmazonElastiCache</t>
  </si>
  <si>
    <t>AWSCodeCommit</t>
  </si>
  <si>
    <t>AmazonSES</t>
  </si>
  <si>
    <t>AmazonDynamoDB</t>
  </si>
  <si>
    <t>AmazonS3GlacierDeepArchive</t>
  </si>
  <si>
    <t>AWSELB</t>
  </si>
  <si>
    <t>AWSCodeDeploy</t>
  </si>
  <si>
    <t>AWSCodePipeline</t>
  </si>
  <si>
    <t>AmazonS3</t>
  </si>
  <si>
    <t>AWSLambda</t>
  </si>
  <si>
    <t>CodeBuild</t>
  </si>
  <si>
    <t>AmazonEFS</t>
  </si>
  <si>
    <t>https://pricing.us-east-1.amazonaws.com/offers/v1.0/aws/AmazonEC2/current/eu-south-1/index.csv</t>
  </si>
  <si>
    <t>Example</t>
  </si>
  <si>
    <t>Show SKU Codes</t>
  </si>
  <si>
    <t>Distributed under MIT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</si>
</sst>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6191F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000000"/>
      <name val="Calibri (Body)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Font="1" applyBorder="1"/>
    <xf numFmtId="0" fontId="2" fillId="2" borderId="1" xfId="0" applyFont="1" applyFill="1" applyBorder="1" applyAlignment="1">
      <alignment vertical="top" wrapText="1"/>
    </xf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0" fillId="4" borderId="0" xfId="0" applyFill="1"/>
    <xf numFmtId="0" fontId="3" fillId="5" borderId="3" xfId="0" applyFont="1" applyFill="1" applyBorder="1" applyAlignment="1">
      <alignment horizontal="center"/>
    </xf>
    <xf numFmtId="0" fontId="3" fillId="3" borderId="2" xfId="0" applyFont="1" applyFill="1" applyBorder="1"/>
    <xf numFmtId="0" fontId="3" fillId="5" borderId="2" xfId="0" applyFont="1" applyFill="1" applyBorder="1"/>
    <xf numFmtId="0" fontId="3" fillId="3" borderId="3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5</xdr:row>
          <xdr:rowOff>101600</xdr:rowOff>
        </xdr:from>
        <xdr:to>
          <xdr:col>3</xdr:col>
          <xdr:colOff>0</xdr:colOff>
          <xdr:row>7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 (Body)"/>
                </a:rPr>
                <a:t>Download Price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icing.us-east-1.amazonaws.com/offers/v1.0/aw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C11"/>
  <sheetViews>
    <sheetView tabSelected="1" zoomScaleNormal="100" workbookViewId="0">
      <selection activeCell="C14" sqref="C14"/>
    </sheetView>
  </sheetViews>
  <sheetFormatPr baseColWidth="10" defaultColWidth="8.83203125" defaultRowHeight="15"/>
  <cols>
    <col min="1" max="1" width="4.5" style="6" customWidth="1"/>
    <col min="2" max="2" width="25.33203125" style="6" customWidth="1"/>
    <col min="3" max="3" width="30.5" style="6" bestFit="1" customWidth="1"/>
    <col min="4" max="4" width="16.1640625" style="6" customWidth="1"/>
    <col min="5" max="16384" width="8.83203125" style="6"/>
  </cols>
  <sheetData>
    <row r="1" spans="2:3" ht="16" thickBot="1"/>
    <row r="2" spans="2:3" ht="25" thickBot="1">
      <c r="B2" s="8" t="s">
        <v>50</v>
      </c>
      <c r="C2" s="10" t="s">
        <v>68</v>
      </c>
    </row>
    <row r="3" spans="2:3" ht="25" thickBot="1">
      <c r="B3" s="9" t="s">
        <v>51</v>
      </c>
      <c r="C3" s="7" t="s">
        <v>24</v>
      </c>
    </row>
    <row r="4" spans="2:3" ht="25" thickBot="1">
      <c r="B4" s="8" t="s">
        <v>89</v>
      </c>
      <c r="C4" s="10" t="s">
        <v>7</v>
      </c>
    </row>
    <row r="10" spans="2:3">
      <c r="B10" s="6" t="s">
        <v>59</v>
      </c>
    </row>
    <row r="11" spans="2:3">
      <c r="B11" s="6" t="s">
        <v>90</v>
      </c>
    </row>
  </sheetData>
  <dataValidations count="1">
    <dataValidation type="list" allowBlank="1" showInputMessage="1" showErrorMessage="1" sqref="C4" xr:uid="{00000000-0002-0000-0000-000000000000}">
      <formula1>"Yes,No"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CSV_File_From_URL">
                <anchor moveWithCells="1" sizeWithCells="1">
                  <from>
                    <xdr:col>0</xdr:col>
                    <xdr:colOff>330200</xdr:colOff>
                    <xdr:row>5</xdr:row>
                    <xdr:rowOff>101600</xdr:rowOff>
                  </from>
                  <to>
                    <xdr:col>3</xdr:col>
                    <xdr:colOff>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Tools!$D$2:$D$30</xm:f>
          </x14:formula1>
          <xm:sqref>C2</xm:sqref>
        </x14:dataValidation>
        <x14:dataValidation type="list" allowBlank="1" showInputMessage="1" showErrorMessage="1" xr:uid="{00000000-0002-0000-0000-000002000000}">
          <x14:formula1>
            <xm:f>Tools!$A$2:$A$23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9"/>
  <sheetViews>
    <sheetView workbookViewId="0">
      <selection activeCell="G7" sqref="F7:G7"/>
    </sheetView>
  </sheetViews>
  <sheetFormatPr baseColWidth="10" defaultColWidth="8.83203125" defaultRowHeight="15"/>
  <cols>
    <col min="1" max="1" width="31" customWidth="1"/>
    <col min="2" max="2" width="12.83203125" bestFit="1" customWidth="1"/>
    <col min="3" max="3" width="3" customWidth="1"/>
    <col min="4" max="4" width="19.33203125" customWidth="1"/>
    <col min="5" max="5" width="3.33203125" customWidth="1"/>
    <col min="6" max="6" width="8.1640625" bestFit="1" customWidth="1"/>
    <col min="7" max="7" width="87.33203125" bestFit="1" customWidth="1"/>
  </cols>
  <sheetData>
    <row r="1" spans="1:7">
      <c r="A1" s="1" t="s">
        <v>52</v>
      </c>
      <c r="B1" s="1" t="s">
        <v>53</v>
      </c>
      <c r="D1" s="3" t="s">
        <v>1</v>
      </c>
      <c r="F1" s="3" t="s">
        <v>57</v>
      </c>
      <c r="G1" s="4" t="s">
        <v>55</v>
      </c>
    </row>
    <row r="2" spans="1:7" ht="16">
      <c r="A2" s="2" t="s">
        <v>24</v>
      </c>
      <c r="B2" s="2" t="s">
        <v>23</v>
      </c>
      <c r="D2" s="3" t="s">
        <v>68</v>
      </c>
      <c r="F2" s="3" t="s">
        <v>1</v>
      </c>
      <c r="G2" s="4" t="str">
        <f>VLOOKUP(Menu!C2,Tools!D2:D29,1,FALSE)</f>
        <v>AmazonApiGateway</v>
      </c>
    </row>
    <row r="3" spans="1:7" ht="16">
      <c r="A3" s="2" t="s">
        <v>6</v>
      </c>
      <c r="B3" s="2" t="s">
        <v>2</v>
      </c>
      <c r="D3" s="3" t="s">
        <v>63</v>
      </c>
      <c r="F3" s="3" t="s">
        <v>3</v>
      </c>
      <c r="G3" s="3" t="s">
        <v>54</v>
      </c>
    </row>
    <row r="4" spans="1:7" ht="16">
      <c r="A4" s="2" t="s">
        <v>11</v>
      </c>
      <c r="B4" s="2" t="s">
        <v>12</v>
      </c>
      <c r="D4" s="3" t="s">
        <v>65</v>
      </c>
      <c r="F4" s="3" t="s">
        <v>0</v>
      </c>
      <c r="G4" s="3" t="str">
        <f>VLOOKUP(Menu!C3,Tools!A2:B23,2,)</f>
        <v>us-east-2</v>
      </c>
    </row>
    <row r="5" spans="1:7" ht="16">
      <c r="A5" s="2" t="s">
        <v>14</v>
      </c>
      <c r="B5" s="2" t="s">
        <v>15</v>
      </c>
      <c r="D5" s="3" t="s">
        <v>78</v>
      </c>
      <c r="F5" s="3" t="s">
        <v>56</v>
      </c>
      <c r="G5" s="3" t="s">
        <v>4</v>
      </c>
    </row>
    <row r="6" spans="1:7" ht="16">
      <c r="A6" s="2" t="s">
        <v>26</v>
      </c>
      <c r="B6" s="2" t="s">
        <v>25</v>
      </c>
      <c r="D6" s="3" t="s">
        <v>5</v>
      </c>
      <c r="F6" s="3" t="s">
        <v>58</v>
      </c>
      <c r="G6" s="3" t="str">
        <f>CONCATENATE(G1,G2,G3,G4,G5)</f>
        <v>https://pricing.us-east-1.amazonaws.com/offers/v1.0/aws/AmazonApiGateway/current/us-east-2/index.csv</v>
      </c>
    </row>
    <row r="7" spans="1:7" ht="16">
      <c r="A7" s="2" t="s">
        <v>28</v>
      </c>
      <c r="B7" s="2" t="s">
        <v>27</v>
      </c>
      <c r="D7" s="3" t="s">
        <v>67</v>
      </c>
      <c r="F7" s="5" t="s">
        <v>88</v>
      </c>
      <c r="G7" s="3" t="s">
        <v>87</v>
      </c>
    </row>
    <row r="8" spans="1:7" ht="16">
      <c r="A8" s="2" t="s">
        <v>30</v>
      </c>
      <c r="B8" s="2" t="s">
        <v>29</v>
      </c>
      <c r="D8" s="3" t="s">
        <v>66</v>
      </c>
    </row>
    <row r="9" spans="1:7" ht="16">
      <c r="A9" s="2" t="s">
        <v>32</v>
      </c>
      <c r="B9" s="2" t="s">
        <v>31</v>
      </c>
      <c r="D9" s="3" t="s">
        <v>86</v>
      </c>
    </row>
    <row r="10" spans="1:7" ht="16">
      <c r="A10" s="2" t="s">
        <v>34</v>
      </c>
      <c r="B10" s="2" t="s">
        <v>33</v>
      </c>
      <c r="D10" s="3" t="s">
        <v>70</v>
      </c>
    </row>
    <row r="11" spans="1:7" ht="16">
      <c r="A11" s="2" t="s">
        <v>21</v>
      </c>
      <c r="B11" s="2" t="s">
        <v>22</v>
      </c>
      <c r="D11" s="3" t="s">
        <v>75</v>
      </c>
    </row>
    <row r="12" spans="1:7" ht="16">
      <c r="A12" s="2" t="s">
        <v>19</v>
      </c>
      <c r="B12" s="2" t="s">
        <v>20</v>
      </c>
      <c r="D12" s="3" t="s">
        <v>71</v>
      </c>
    </row>
    <row r="13" spans="1:7" ht="16">
      <c r="A13" s="2" t="s">
        <v>9</v>
      </c>
      <c r="B13" s="2" t="s">
        <v>10</v>
      </c>
      <c r="D13" s="3" t="s">
        <v>61</v>
      </c>
    </row>
    <row r="14" spans="1:7" ht="16">
      <c r="A14" s="2" t="s">
        <v>17</v>
      </c>
      <c r="B14" s="2" t="s">
        <v>18</v>
      </c>
      <c r="D14" s="3" t="s">
        <v>72</v>
      </c>
    </row>
    <row r="15" spans="1:7" ht="16">
      <c r="A15" s="2" t="s">
        <v>36</v>
      </c>
      <c r="B15" s="2" t="s">
        <v>35</v>
      </c>
      <c r="D15" s="3" t="s">
        <v>62</v>
      </c>
    </row>
    <row r="16" spans="1:7" ht="16">
      <c r="A16" s="2" t="s">
        <v>37</v>
      </c>
      <c r="B16" s="2" t="s">
        <v>13</v>
      </c>
      <c r="D16" s="3" t="s">
        <v>69</v>
      </c>
    </row>
    <row r="17" spans="1:4" ht="16">
      <c r="A17" s="2" t="s">
        <v>38</v>
      </c>
      <c r="B17" s="2" t="s">
        <v>16</v>
      </c>
      <c r="D17" s="3" t="s">
        <v>83</v>
      </c>
    </row>
    <row r="18" spans="1:4" ht="16">
      <c r="A18" s="2" t="s">
        <v>40</v>
      </c>
      <c r="B18" s="2" t="s">
        <v>39</v>
      </c>
      <c r="D18" s="3" t="s">
        <v>79</v>
      </c>
    </row>
    <row r="19" spans="1:4" ht="16">
      <c r="A19" s="2" t="s">
        <v>42</v>
      </c>
      <c r="B19" s="2" t="s">
        <v>41</v>
      </c>
      <c r="D19" s="3" t="s">
        <v>64</v>
      </c>
    </row>
    <row r="20" spans="1:4" ht="16">
      <c r="A20" s="2" t="s">
        <v>44</v>
      </c>
      <c r="B20" s="2" t="s">
        <v>43</v>
      </c>
      <c r="D20" s="3" t="s">
        <v>77</v>
      </c>
    </row>
    <row r="21" spans="1:4" ht="16">
      <c r="A21" s="2" t="s">
        <v>46</v>
      </c>
      <c r="B21" s="2" t="s">
        <v>45</v>
      </c>
      <c r="D21" s="3" t="s">
        <v>74</v>
      </c>
    </row>
    <row r="22" spans="1:4" ht="16">
      <c r="A22" s="2" t="s">
        <v>48</v>
      </c>
      <c r="B22" s="2" t="s">
        <v>47</v>
      </c>
      <c r="D22" s="3" t="s">
        <v>73</v>
      </c>
    </row>
    <row r="23" spans="1:4" ht="16">
      <c r="A23" s="2" t="s">
        <v>49</v>
      </c>
      <c r="B23" s="2" t="s">
        <v>8</v>
      </c>
      <c r="D23" s="3" t="s">
        <v>76</v>
      </c>
    </row>
    <row r="24" spans="1:4">
      <c r="D24" s="3" t="s">
        <v>81</v>
      </c>
    </row>
    <row r="25" spans="1:4">
      <c r="D25" s="3" t="s">
        <v>82</v>
      </c>
    </row>
    <row r="26" spans="1:4">
      <c r="D26" s="3" t="s">
        <v>80</v>
      </c>
    </row>
    <row r="27" spans="1:4">
      <c r="D27" s="3" t="s">
        <v>60</v>
      </c>
    </row>
    <row r="28" spans="1:4">
      <c r="D28" s="3" t="s">
        <v>84</v>
      </c>
    </row>
    <row r="29" spans="1:4">
      <c r="D29" s="3" t="s">
        <v>85</v>
      </c>
    </row>
  </sheetData>
  <sortState ref="D2:D30">
    <sortCondition ref="D2"/>
  </sortState>
  <hyperlinks>
    <hyperlink ref="G1" r:id="rId1" xr:uid="{00000000-0004-0000-0100-000000000000}"/>
  </hyperlinks>
  <pageMargins left="0.7" right="0.7" top="0.75" bottom="0.75" header="0.3" footer="0.3"/>
  <pageSetup orientation="portrait" r:id="rId2"/>
  <headerFooter>
    <oddFooter>&amp;L&amp;1#&amp;"Calibri"&amp;7&amp;K000000C2 General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Menu</vt:lpstr>
      <vt:lpstr>Tools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Mattia Peirano</dc:creator>
  <cp:keywords/>
  <dc:description/>
  <cp:lastModifiedBy>Mattia</cp:lastModifiedBy>
  <dcterms:created xsi:type="dcterms:W3CDTF">2022-01-14T22:05:32Z</dcterms:created>
  <dcterms:modified xsi:type="dcterms:W3CDTF">2022-01-14T22:19:46Z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2022-01-14T22:06:06Z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823ed9c5-4d61-4730-a3e7-711a088edb91</vt:lpwstr>
  </property>
  <property fmtid="{D5CDD505-2E9C-101B-9397-08002B2CF9AE}" pid="8" name="MSIP_Label_0359f705-2ba0-454b-9cfc-6ce5bcaac040_ContentBits">
    <vt:lpwstr>2</vt:lpwstr>
  </property>
</Properties>
</file>